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4873dd0de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hesions" sheetId="1" r:id="Rda519670083a41ff"/>
    <x:sheet xmlns:r="http://schemas.openxmlformats.org/officeDocument/2006/relationships" name="Dashboard" sheetId="2" r:id="R69b93a62ad0745f0"/>
    <x:sheet xmlns:r="http://schemas.openxmlformats.org/officeDocument/2006/relationships" name="Parametres" sheetId="3" r:id="Rb13c2f921ae2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i/>
      <x:sz val="11"/>
      <x:color rgb="1A5C2A"/>
      <x:name val="Carlito"/>
    </x:font>
    <x:font>
      <x:b/>
      <x:sz val="11"/>
      <x:color rgb="1A5C2A"/>
      <x:name val="Carlito"/>
    </x:font>
    <x:font>
      <x:b/>
      <x:sz val="14"/>
      <x:color rgb="9B7015"/>
      <x:name val="Carlito"/>
    </x:font>
    <x:font>
      <x:b/>
      <x:sz val="11"/>
      <x:color rgb="9B701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A5C2A"/>
      </x:patternFill>
    </x:fill>
    <x:fill>
      <x:patternFill patternType="solid">
        <x:fgColor rgb="C9982A"/>
      </x:patternFill>
    </x:fill>
    <x:fill>
      <x:patternFill patternType="solid">
        <x:fgColor rgb="E8F5E9"/>
      </x:patternFill>
    </x:fill>
    <x:fill>
      <x:patternFill patternType="solid">
        <x:fgColor rgb="F4FBF5"/>
      </x:patternFill>
    </x:fill>
    <x:fill>
      <x:patternFill patternType="solid">
        <x:fgColor rgb="FDF6E3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4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b2530bad44a2c" /><Relationship Type="http://schemas.openxmlformats.org/officeDocument/2006/relationships/theme" Target="/xl/theme/theme1.xml" Id="R2facf8f3ed00458b" /><Relationship Type="http://schemas.openxmlformats.org/officeDocument/2006/relationships/sharedStrings" Target="/xl/sharedStrings.xml" Id="R9613d5b4d0174a9e" /><Relationship Type="http://schemas.openxmlformats.org/officeDocument/2006/relationships/worksheet" Target="/xl/worksheets/sheet1.xml" Id="Rda519670083a41ff" /><Relationship Type="http://schemas.openxmlformats.org/officeDocument/2006/relationships/worksheet" Target="/xl/worksheets/sheet2.xml" Id="R69b93a62ad0745f0" /><Relationship Type="http://schemas.openxmlformats.org/officeDocument/2006/relationships/worksheet" Target="/xl/worksheets/sheet3.xml" Id="Rb13c2f921ae240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36eb5d30f94bba" /><Relationship Type="http://schemas.openxmlformats.org/officeDocument/2006/relationships/chart" Target="/xl/drawings/charts/chart2.xml" Id="Rc9f1936548be4f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Répartition par zone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Dossiers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Répartition par statut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Dossiers</c:v>
          </c:tx>
          <c:cat>
            <c:strRef>
              <c:f>'Dashboard'!$D$11:$D$13</c:f>
              <c:strCache>
                <c:ptCount val="0"/>
              </c:strCache>
            </c:strRef>
          </c:cat>
          <c:val>
            <c:numRef>
              <c:f>'Dashboard'!$E$11:$E$13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36eb5d30f94bba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f1936548be4f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dhesionsTable" displayName="AdhesionsTable" ref="A1:T1" headerRowCount="1">
  <x:tableColumns count="20">
    <x:tableColumn id="1" name="reference"/>
    <x:tableColumn id="2" name="date_soumission"/>
    <x:tableColumn id="3" name="nom_complet"/>
    <x:tableColumn id="4" name="prenom"/>
    <x:tableColumn id="5" name="nom"/>
    <x:tableColumn id="6" name="sexe"/>
    <x:tableColumn id="7" name="date_naissance"/>
    <x:tableColumn id="8" name="telephone"/>
    <x:tableColumn id="9" name="email"/>
    <x:tableColumn id="10" name="profession"/>
    <x:tableColumn id="11" name="adresse"/>
    <x:tableColumn id="12" name="zone"/>
    <x:tableColumn id="13" name="categorie_cotisation"/>
    <x:tableColumn id="14" name="montant_cotisation"/>
    <x:tableColumn id="15" name="mode_paiement"/>
    <x:tableColumn id="16" name="reference_transaction"/>
    <x:tableColumn id="17" name="statut_paiement"/>
    <x:tableColumn id="18" name="section"/>
    <x:tableColumn id="19" name="source"/>
    <x:tableColumn id="20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70294f599340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af0718e767c4b1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14" hidden="0" customWidth="1"/>
    <x:col min="5" max="5" width="16" hidden="0" customWidth="1"/>
    <x:col min="6" max="6" width="10" hidden="0" customWidth="1"/>
    <x:col min="7" max="7" width="14" hidden="0" customWidth="1"/>
    <x:col min="8" max="8" width="16" hidden="0" customWidth="1"/>
    <x:col min="9" max="9" width="24" hidden="0" customWidth="1"/>
    <x:col min="10" max="10" width="18" hidden="0" customWidth="1"/>
    <x:col min="11" max="11" width="24" hidden="0" customWidth="1"/>
    <x:col min="12" max="12" width="22" hidden="0" customWidth="1"/>
    <x:col min="13" max="13" width="26" hidden="0" customWidth="1"/>
    <x:col min="14" max="14" width="16" hidden="0" customWidth="1"/>
    <x:col min="15" max="15" width="20" hidden="0" customWidth="1"/>
    <x:col min="16" max="16" width="20" hidden="0" customWidth="1"/>
    <x:col min="17" max="17" width="16" hidden="0" customWidth="1"/>
    <x:col min="18" max="18" width="14" hidden="0" customWidth="1"/>
    <x:col min="19" max="19" width="12" hidden="0" customWidth="1"/>
    <x:col min="20" max="20" width="22" hidden="0" customWidth="1"/>
  </x:cols>
  <x:sheetData>
    <x:row r="1" ht="24" customHeight="1">
      <x:c r="A1" s="5" t="str">
        <x:v>reference</x:v>
      </x:c>
      <x:c r="B1" s="5" t="str">
        <x:v>date_soumission</x:v>
      </x:c>
      <x:c r="C1" s="5" t="str">
        <x:v>nom_complet</x:v>
      </x:c>
      <x:c r="D1" s="5" t="str">
        <x:v>prenom</x:v>
      </x:c>
      <x:c r="E1" s="5" t="str">
        <x:v>nom</x:v>
      </x:c>
      <x:c r="F1" s="5" t="str">
        <x:v>sexe</x:v>
      </x:c>
      <x:c r="G1" s="5" t="str">
        <x:v>date_naissance</x:v>
      </x:c>
      <x:c r="H1" s="5" t="str">
        <x:v>telephone</x:v>
      </x:c>
      <x:c r="I1" s="5" t="str">
        <x:v>email</x:v>
      </x:c>
      <x:c r="J1" s="5" t="str">
        <x:v>profession</x:v>
      </x:c>
      <x:c r="K1" s="5" t="str">
        <x:v>adresse</x:v>
      </x:c>
      <x:c r="L1" s="5" t="str">
        <x:v>zone</x:v>
      </x:c>
      <x:c r="M1" s="5" t="str">
        <x:v>categorie_cotisation</x:v>
      </x:c>
      <x:c r="N1" s="5" t="str">
        <x:v>montant_cotisation</x:v>
      </x:c>
      <x:c r="O1" s="5" t="str">
        <x:v>mode_paiement</x:v>
      </x:c>
      <x:c r="P1" s="5" t="str">
        <x:v>reference_transaction</x:v>
      </x:c>
      <x:c r="Q1" s="5" t="str">
        <x:v>statut_paiement</x:v>
      </x:c>
      <x:c r="R1" s="5" t="str">
        <x:v>section</x:v>
      </x:c>
      <x:c r="S1" s="5" t="str">
        <x:v>source</x:v>
      </x:c>
      <x:c r="T1" s="5" t="str">
        <x:v>created_at</x:v>
      </x:c>
    </x:row>
  </x:sheetData>
  <x:pageMargins left="0.7" right="0.7" top="0.75" bottom="0.75" header="0.3" footer="0.3"/>
  <x:tableParts count="1">
    <x:tablePart xmlns:r="http://schemas.openxmlformats.org/officeDocument/2006/relationships" r:id="Rd470294f599340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8" hidden="0" customWidth="1"/>
    <x:col min="5" max="5" width="16" hidden="0" customWidth="1"/>
    <x:col min="6" max="6" width="3" hidden="0" customWidth="1"/>
    <x:col min="7" max="7" width="3" hidden="0" customWidth="1"/>
    <x:col min="8" max="8" width="3" hidden="0" customWidth="1"/>
  </x:cols>
  <x:sheetData>
    <x:row r="1" ht="30" customHeight="1">
      <x:c r="A1" s="10" t="str">
        <x:v>YELLITAARE Thidé — Dashboard Excel</x:v>
      </x:c>
    </x:row>
    <x:row r="2">
      <x:c r="A2" s="13" t="str">
        <x:v>Les lignes sont alimentées automatiquement par Power Automate dans la table 'AdhesionsTable'.</x:v>
      </x:c>
    </x:row>
    <x:row r="4">
      <x:c r="A4" s="22" t="str">
        <x:v>Total dossiers</x:v>
      </x:c>
      <x:c r="B4" s="23" t="n">
        <x:f>COUNTA(Adhesions!A:A)-1</x:f>
        <x:v>0</x:v>
      </x:c>
    </x:row>
    <x:row r="5">
      <x:c r="A5" s="22" t="str">
        <x:v>Validés</x:v>
      </x:c>
      <x:c r="B5" s="23" t="n">
        <x:f>COUNTIF(Adhesions!Q:Q,"Validé")</x:f>
        <x:v>0</x:v>
      </x:c>
    </x:row>
    <x:row r="6">
      <x:c r="A6" s="22" t="str">
        <x:v>En attente</x:v>
      </x:c>
      <x:c r="B6" s="23" t="n">
        <x:f>COUNTIF(Adhesions!Q:Q,"En attente")</x:f>
        <x:v>0</x:v>
      </x:c>
    </x:row>
    <x:row r="7">
      <x:c r="A7" s="22" t="str">
        <x:v>Montant total (MRU)</x:v>
      </x:c>
      <x:c r="B7" s="24" t="n">
        <x:f>SUM(Adhesions!N:N)</x:f>
        <x:v>0</x:v>
      </x:c>
    </x:row>
    <x:row r="10">
      <x:c r="A10" s="25" t="str">
        <x:v>Zone / rubrique</x:v>
      </x:c>
      <x:c r="B10" s="25" t="str">
        <x:v>Dossiers</x:v>
      </x:c>
      <x:c r="D10" s="27" t="str">
        <x:v>Statut</x:v>
      </x:c>
      <x:c r="E10" s="27" t="str">
        <x:v>Dossiers</x:v>
      </x:c>
    </x:row>
    <x:row r="11">
      <x:c r="A11" s="26" t="str">
        <x:v>Village de Thidé</x:v>
      </x:c>
      <x:c r="B11" s="26" t="n">
        <x:f>COUNTIF(Adhesions!L:L,"Village de Thidé")</x:f>
        <x:v>0</x:v>
      </x:c>
      <x:c r="D11" s="26" t="str">
        <x:v>Validé</x:v>
      </x:c>
      <x:c r="E11" s="26" t="n">
        <x:f>COUNTIF(Adhesions!Q:Q,"Validé")</x:f>
        <x:v>0</x:v>
      </x:c>
    </x:row>
    <x:row r="12">
      <x:c r="A12" s="26" t="str">
        <x:v>Nationaux – Mauritanie</x:v>
      </x:c>
      <x:c r="B12" s="26" t="n">
        <x:f>COUNTIF(Adhesions!L:L,"Nationaux – Mauritanie")</x:f>
        <x:v>0</x:v>
      </x:c>
      <x:c r="D12" s="26" t="str">
        <x:v>En attente</x:v>
      </x:c>
      <x:c r="E12" s="26" t="n">
        <x:f>COUNTIF(Adhesions!Q:Q,"En attente")</x:f>
        <x:v>0</x:v>
      </x:c>
    </x:row>
    <x:row r="13">
      <x:c r="A13" s="26" t="str">
        <x:v>Diaspora – Afrique</x:v>
      </x:c>
      <x:c r="B13" s="26" t="n">
        <x:f>COUNTIF(Adhesions!L:L,"Diaspora – Afrique")</x:f>
        <x:v>0</x:v>
      </x:c>
      <x:c r="D13" s="26" t="str">
        <x:v>Refusé</x:v>
      </x:c>
      <x:c r="E13" s="26" t="n">
        <x:f>COUNTIF(Adhesions!Q:Q,"Refusé")</x:f>
        <x:v>0</x:v>
      </x:c>
    </x:row>
    <x:row r="14">
      <x:c r="A14" s="26" t="str">
        <x:v>Diaspora – Europe / Amériques</x:v>
      </x:c>
      <x:c r="B14" s="26" t="n">
        <x:f>COUNTIF(Adhesions!L:L,"Diaspora – Europe / Amériques")</x:f>
        <x:v>0</x:v>
      </x:c>
      <x:c r="D14" s="26" t="str">
        <x:v>Commission Éducation</x:v>
      </x:c>
      <x:c r="E14" s="26" t="n">
        <x:f>COUNTIF(Adhesions!R:R,"edu")</x:f>
        <x:v>0</x:v>
      </x:c>
    </x:row>
    <x:row r="15">
      <x:c r="D15" s="26" t="str">
        <x:v>Commission Développement économique</x:v>
      </x:c>
      <x:c r="E15" s="26" t="n">
        <x:f>COUNTIF(Adhesions!R:R,"eco")</x:f>
        <x:v>0</x:v>
      </x:c>
    </x:row>
    <x:row r="16">
      <x:c r="D16" s="26" t="str">
        <x:v>Commission Diaspora</x:v>
      </x:c>
      <x:c r="E16" s="26" t="n">
        <x:f>COUNTIF(Adhesions!R:R,"dias")</x:f>
        <x:v>0</x:v>
      </x:c>
    </x:row>
    <x:row r="18">
      <x:c r="A18" s="19" t="str">
        <x:v>Champ site web</x:v>
      </x:c>
      <x:c r="B18" s="19" t="str">
        <x:v>Colonne Excel</x:v>
      </x:c>
      <x:c r="C18" s="19" t="str">
        <x:v>Remarque</x:v>
      </x:c>
      <x:c r="D18" t="str"/>
      <x:c r="E18" t="str"/>
    </x:row>
    <x:row r="19">
      <x:c r="A19" s="14" t="str">
        <x:v>reference</x:v>
      </x:c>
      <x:c r="B19" s="14" t="str">
        <x:v>reference</x:v>
      </x:c>
      <x:c r="C19" s="14" t="str">
        <x:v>Identifiant unique du dossier</x:v>
      </x:c>
      <x:c r="D19" t="str"/>
      <x:c r="E19" t="str"/>
    </x:row>
    <x:row r="20">
      <x:c r="A20" s="14" t="str">
        <x:v>date_soumission</x:v>
      </x:c>
      <x:c r="B20" s="14" t="str">
        <x:v>date_soumission</x:v>
      </x:c>
      <x:c r="C20" s="14" t="str">
        <x:v>Date affichée sur le site</x:v>
      </x:c>
      <x:c r="D20" t="str"/>
      <x:c r="E20" t="str"/>
    </x:row>
    <x:row r="21">
      <x:c r="A21" s="14" t="str">
        <x:v>montant_cotisation</x:v>
      </x:c>
      <x:c r="B21" s="14" t="str">
        <x:v>montant_cotisation</x:v>
      </x:c>
      <x:c r="C21" s="14" t="str">
        <x:v>Nombre MRU</x:v>
      </x:c>
      <x:c r="D21" t="str"/>
      <x:c r="E21" t="str"/>
    </x:row>
    <x:row r="22">
      <x:c r="A22" s="14" t="str">
        <x:v>statut_paiement</x:v>
      </x:c>
      <x:c r="B22" s="14" t="str">
        <x:v>statut_paiement</x:v>
      </x:c>
      <x:c r="C22" s="14" t="str">
        <x:v>En attente / Validé / Refusé</x:v>
      </x:c>
      <x:c r="D22" t="str"/>
      <x:c r="E22" t="str"/>
    </x:row>
    <x:row r="23">
      <x:c r="A23" s="14" t="str">
        <x:v>created_at</x:v>
      </x:c>
      <x:c r="B23" s="14" t="str">
        <x:v>created_at</x:v>
      </x:c>
      <x:c r="C23" s="14" t="str">
        <x:v>Horodatage ISO envoyé par le site</x:v>
      </x:c>
      <x:c r="D23" t="str"/>
      <x:c r="E23" t="str"/>
    </x:row>
    <x:row r="24">
      <x:c r="A24" s="14" t="str">
        <x:v>section</x:v>
      </x:c>
      <x:c r="B24" s="14" t="str">
        <x:v>section</x:v>
      </x:c>
      <x:c r="C24" s="14" t="str">
        <x:v>Code court : edu / eco / dias ...</x:v>
      </x:c>
      <x:c r="D24" t="str"/>
      <x:c r="E24" t="str"/>
    </x:row>
  </x:sheetData>
  <x:mergeCells>
    <x:mergeCell ref="A1:H1"/>
    <x:mergeCell ref="A2:H2"/>
  </x:mergeCells>
  <x:conditionalFormatting sqref="B4:B7">
    <x:cfRule type="dataBar" priority="1">
      <x:dataBar>
        <x:cfvo type="min"/>
        <x:cfvo type="max"/>
        <x:color rgb="1A5C2A"/>
      </x:dataBar>
    </x:cfRule>
  </x:conditionalFormatting>
  <x:conditionalFormatting sqref="B11:B14">
    <x:cfRule type="dataBar" priority="2">
      <x:dataBar>
        <x:cfvo type="min"/>
        <x:cfvo type="max"/>
        <x:color rgb="C9982A"/>
      </x:dataBar>
    </x:cfRule>
  </x:conditionalFormatting>
  <x:conditionalFormatting sqref="E11:E16">
    <x:cfRule type="dataBar" priority="3">
      <x:dataBar>
        <x:cfvo type="min"/>
        <x:cfvo type="max"/>
        <x:color rgb="1A5C2A"/>
      </x:dataBar>
    </x:cfRule>
  </x:conditionalFormatting>
  <x:pageMargins left="0.7" right="0.7" top="0.75" bottom="0.75" header="0.3" footer="0.3"/>
  <x:drawing xmlns:r="http://schemas.openxmlformats.org/officeDocument/2006/relationships" r:id="Reaf0718e767c4b1a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7" t="str">
        <x:v>Liste</x:v>
      </x:c>
      <x:c r="B1" s="7" t="str">
        <x:v>Valeur</x:v>
      </x:c>
    </x:row>
    <x:row r="2">
      <x:c r="A2" t="str">
        <x:v>Statut</x:v>
      </x:c>
      <x:c r="B2" t="str">
        <x:v>En attente</x:v>
      </x:c>
    </x:row>
    <x:row r="3">
      <x:c r="A3" t="str">
        <x:v>Statut</x:v>
      </x:c>
      <x:c r="B3" t="str">
        <x:v>Validé</x:v>
      </x:c>
    </x:row>
    <x:row r="4">
      <x:c r="A4" t="str">
        <x:v>Statut</x:v>
      </x:c>
      <x:c r="B4" t="str">
        <x:v>Refusé</x:v>
      </x:c>
    </x:row>
    <x:row r="5">
      <x:c r="A5" t="str">
        <x:v>Section</x:v>
      </x:c>
      <x:c r="B5" t="str">
        <x:v>Commission Éducation</x:v>
      </x:c>
    </x:row>
    <x:row r="6">
      <x:c r="A6" t="str">
        <x:v>Section</x:v>
      </x:c>
      <x:c r="B6" t="str">
        <x:v>Commission Eau &amp; Assainissement</x:v>
      </x:c>
    </x:row>
    <x:row r="7">
      <x:c r="A7" t="str">
        <x:v>Section</x:v>
      </x:c>
      <x:c r="B7" t="str">
        <x:v>Commission Santé &amp; Solidarité</x:v>
      </x:c>
    </x:row>
    <x:row r="8">
      <x:c r="A8" t="str">
        <x:v>Section</x:v>
      </x:c>
      <x:c r="B8" t="str">
        <x:v>Commission Développement économique</x:v>
      </x:c>
    </x:row>
    <x:row r="9">
      <x:c r="A9" t="str">
        <x:v>Section</x:v>
      </x:c>
      <x:c r="B9" t="str">
        <x:v>Commission Culture &amp; Jeunesse</x:v>
      </x:c>
    </x:row>
    <x:row r="10">
      <x:c r="A10" t="str">
        <x:v>Section</x:v>
      </x:c>
      <x:c r="B10" t="str">
        <x:v>Commission Diaspora</x:v>
      </x:c>
    </x:row>
  </x:sheetData>
  <x:pageMargins left="0.7" right="0.7" top="0.75" bottom="0.75" header="0.3" footer="0.3"/>
</x:worksheet>
</file>